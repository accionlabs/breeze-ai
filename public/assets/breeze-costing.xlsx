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/Users/yakarteek/code/work/accionlabs/breezeai-devops/"/>
    </mc:Choice>
  </mc:AlternateContent>
  <xr:revisionPtr revIDLastSave="0" documentId="8_{32015CEA-39D7-4004-8B11-B1395C0A282F}" xr6:coauthVersionLast="47" xr6:coauthVersionMax="47" xr10:uidLastSave="{00000000-0000-0000-0000-000000000000}"/>
  <bookViews>
    <workbookView xWindow="0" yWindow="680" windowWidth="30240" windowHeight="17400" tabRatio="500" firstSheet="1" activeTab="2" xr2:uid="{00000000-000D-0000-FFFF-FFFF00000000}"/>
  </bookViews>
  <sheets>
    <sheet name="Inputs" sheetId="1" r:id="rId1"/>
    <sheet name="Monthly Costs" sheetId="2" r:id="rId2"/>
    <sheet name="Engagement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3" l="1"/>
  <c r="C11" i="3"/>
  <c r="B11" i="3"/>
  <c r="D10" i="3"/>
  <c r="C10" i="3"/>
  <c r="B10" i="3"/>
  <c r="D9" i="3"/>
  <c r="C9" i="3"/>
  <c r="B9" i="3"/>
  <c r="B4" i="3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32" i="2" s="1"/>
  <c r="D8" i="3" s="1"/>
  <c r="D10" i="2"/>
  <c r="D9" i="2"/>
  <c r="D8" i="2"/>
  <c r="D7" i="2"/>
  <c r="D6" i="2"/>
  <c r="D5" i="2"/>
  <c r="D31" i="2" l="1"/>
  <c r="D7" i="3" s="1"/>
  <c r="D12" i="3" s="1"/>
  <c r="D14" i="3"/>
  <c r="D13" i="3"/>
  <c r="B7" i="3"/>
  <c r="C7" i="3"/>
  <c r="B8" i="3"/>
  <c r="C8" i="3"/>
  <c r="D33" i="2"/>
  <c r="C12" i="3" l="1"/>
  <c r="B12" i="3"/>
  <c r="B14" i="3" l="1"/>
  <c r="B13" i="3"/>
  <c r="C14" i="3"/>
  <c r="C13" i="3"/>
</calcChain>
</file>

<file path=xl/sharedStrings.xml><?xml version="1.0" encoding="utf-8"?>
<sst xmlns="http://schemas.openxmlformats.org/spreadsheetml/2006/main" count="294" uniqueCount="218">
  <si>
    <t>BreezeAI Accelerator in KLC AWS - Cost Calculator Inputs</t>
  </si>
  <si>
    <t>Blue cells are editable assumptions. Prices: AWS on-demand list, us-east-1 baseline, June 2026 - verify current prices and KLC region before sending externally.</t>
  </si>
  <si>
    <t>General</t>
  </si>
  <si>
    <t>Engagement duration</t>
  </si>
  <si>
    <t>weeks</t>
  </si>
  <si>
    <t>SOW term; add buffer weeks here if environment runs longer</t>
  </si>
  <si>
    <t>Regional price multiplier</t>
  </si>
  <si>
    <t>x</t>
  </si>
  <si>
    <t>1.00 = us-east-1 baseline. eu-north-1 ≈ 1.04, us-west-2 ≈ 1.00 - set per KLC-designated region</t>
  </si>
  <si>
    <t>Weeks per month (constant)</t>
  </si>
  <si>
    <t>wk/mo</t>
  </si>
  <si>
    <t>365.25 / 12 / 7 - used to convert monthly run rate to engagement total</t>
  </si>
  <si>
    <t>Hours per month (constant)</t>
  </si>
  <si>
    <t>hr/mo</t>
  </si>
  <si>
    <t>AWS billing convention</t>
  </si>
  <si>
    <t>Compute &amp; network quantities</t>
  </si>
  <si>
    <t>EKS worker nodes</t>
  </si>
  <si>
    <t>nodes</t>
  </si>
  <si>
    <t>IaC: min 1 / desired 4 / max 5 m5.2xlarge; 2 assumed for engagement workload</t>
  </si>
  <si>
    <t>Node instance rate (m5.2xlarge)</t>
  </si>
  <si>
    <t>$/hr</t>
  </si>
  <si>
    <t>Source: AWS EC2 on-demand pricing, us-east-1, June 2026</t>
  </si>
  <si>
    <t>EKS control plane rate</t>
  </si>
  <si>
    <t>Source: AWS EKS pricing - standard cluster</t>
  </si>
  <si>
    <t>Jump box rate (t3.micro)</t>
  </si>
  <si>
    <t>Source: AWS EC2 on-demand pricing</t>
  </si>
  <si>
    <t>ALB count</t>
  </si>
  <si>
    <t>lb</t>
  </si>
  <si>
    <t>terraform/alb-asg - HTTPS entry</t>
  </si>
  <si>
    <t>ALB hourly rate</t>
  </si>
  <si>
    <t>Source: AWS ELB pricing</t>
  </si>
  <si>
    <t>ALB average LCUs</t>
  </si>
  <si>
    <t>LCU</t>
  </si>
  <si>
    <t>Low-traffic internal tool estimate</t>
  </si>
  <si>
    <t>LCU rate</t>
  </si>
  <si>
    <t>$/LCU-hr</t>
  </si>
  <si>
    <t>Classic LB count (Kong / Neo4j bolt)</t>
  </si>
  <si>
    <t>Kong provisions a CLB; Neo4j bolt optional second - set 2 if both kept</t>
  </si>
  <si>
    <t>CLB hourly rate</t>
  </si>
  <si>
    <t>NAT Gateway hourly rate</t>
  </si>
  <si>
    <t>Source: AWS VPC pricing - single NAT</t>
  </si>
  <si>
    <t>NAT data processed</t>
  </si>
  <si>
    <t>GB/mo</t>
  </si>
  <si>
    <t>Image pulls, repo ingestion, AWS API traffic - usage estimate</t>
  </si>
  <si>
    <t>NAT data rate</t>
  </si>
  <si>
    <t>$/GB</t>
  </si>
  <si>
    <t>Source: AWS VPC pricing</t>
  </si>
  <si>
    <t>Inter-AZ transfer</t>
  </si>
  <si>
    <t>Inter-AZ rate</t>
  </si>
  <si>
    <t>Storage &amp; database</t>
  </si>
  <si>
    <t>EBS provisioned</t>
  </si>
  <si>
    <t>GiB</t>
  </si>
  <si>
    <t>Node roots 2×70 + Neo4j 110 + Redis/misc - per IaC sizing</t>
  </si>
  <si>
    <t>EBS rate (gp3)</t>
  </si>
  <si>
    <t>$/GiB-mo</t>
  </si>
  <si>
    <t>Source: AWS EBS pricing</t>
  </si>
  <si>
    <t>EFS stored (elastic, actual usage)</t>
  </si>
  <si>
    <t>~120 GiB PVs provisioned; EFS bills actual bytes stored</t>
  </si>
  <si>
    <t>EFS rate (Standard)</t>
  </si>
  <si>
    <t>Source: AWS EFS pricing</t>
  </si>
  <si>
    <t>RDS instance rate (db.t3.large, single-AZ)</t>
  </si>
  <si>
    <t>Source: AWS RDS PostgreSQL on-demand pricing</t>
  </si>
  <si>
    <t>RDS storage</t>
  </si>
  <si>
    <t>terraform/postgres-rds: gp3 100 GiB initial (autoscales to 1 TB)</t>
  </si>
  <si>
    <t>RDS storage rate</t>
  </si>
  <si>
    <t>Source: AWS RDS gp3 storage pricing</t>
  </si>
  <si>
    <t>S3 stored</t>
  </si>
  <si>
    <t>GB</t>
  </si>
  <si>
    <t>Terraform state, backups, artifacts</t>
  </si>
  <si>
    <t>S3 rate (Standard)</t>
  </si>
  <si>
    <t>$/GB-mo</t>
  </si>
  <si>
    <t>Source: AWS S3 pricing</t>
  </si>
  <si>
    <t>ECR stored</t>
  </si>
  <si>
    <t>BreezeAI images</t>
  </si>
  <si>
    <t>ECR rate</t>
  </si>
  <si>
    <t>Source: AWS ECR pricing</t>
  </si>
  <si>
    <t>S3 PUT requests</t>
  </si>
  <si>
    <t>requests/mo</t>
  </si>
  <si>
    <t>PUT request rate</t>
  </si>
  <si>
    <t>/1K requests</t>
  </si>
  <si>
    <t>S3 GET requests</t>
  </si>
  <si>
    <t>GET request rate</t>
  </si>
  <si>
    <t>Security &amp; observability</t>
  </si>
  <si>
    <t>Secrets Manager secrets</t>
  </si>
  <si>
    <t>secrets</t>
  </si>
  <si>
    <t>DB creds, API keys</t>
  </si>
  <si>
    <t>Secrets Manager rate</t>
  </si>
  <si>
    <t>$/secret-mo</t>
  </si>
  <si>
    <t>Source: AWS Secrets Manager pricing</t>
  </si>
  <si>
    <t>KMS customer-managed keys</t>
  </si>
  <si>
    <t>keys</t>
  </si>
  <si>
    <t>EKS secrets CMK + storage CMK</t>
  </si>
  <si>
    <t>KMS key rate</t>
  </si>
  <si>
    <t>$/key-mo</t>
  </si>
  <si>
    <t>Source: AWS KMS pricing</t>
  </si>
  <si>
    <t>GuardDuty estimate</t>
  </si>
  <si>
    <t>$/mo</t>
  </si>
  <si>
    <t>Small single-account environment - events-based, usage estimate</t>
  </si>
  <si>
    <t>CloudWatch logs ingested</t>
  </si>
  <si>
    <t>Fluent Bit application logs, 30-day retention</t>
  </si>
  <si>
    <t>CloudWatch ingest rate</t>
  </si>
  <si>
    <t>Source: AWS CloudWatch pricing</t>
  </si>
  <si>
    <t>CloudWatch alarms</t>
  </si>
  <si>
    <t>alarms</t>
  </si>
  <si>
    <t>Node/pod alarms per cloudwatch/ scripts</t>
  </si>
  <si>
    <t>Alarm rate</t>
  </si>
  <si>
    <t>$/alarm-mo</t>
  </si>
  <si>
    <t>Custom metrics</t>
  </si>
  <si>
    <t>metrics</t>
  </si>
  <si>
    <t>Custom metric rate</t>
  </si>
  <si>
    <t>/metric-mo</t>
  </si>
  <si>
    <t>CloudWatch dashboards</t>
  </si>
  <si>
    <t>dashboard</t>
  </si>
  <si>
    <t>Dashboard rate</t>
  </si>
  <si>
    <t>/dashboard-mo</t>
  </si>
  <si>
    <t>CloudWatch log storage</t>
  </si>
  <si>
    <t xml:space="preserve"> GB-mo</t>
  </si>
  <si>
    <t>CloudWatch storage rate</t>
  </si>
  <si>
    <t>Container Insights estimate</t>
  </si>
  <si>
    <t>Custom metrics for small cluster - usage estimate</t>
  </si>
  <si>
    <t>Data transfer out</t>
  </si>
  <si>
    <t>UI traffic to users</t>
  </si>
  <si>
    <t>Data transfer out rate</t>
  </si>
  <si>
    <t>Source: AWS data transfer pricing</t>
  </si>
  <si>
    <t>Amazon Bedrock usage (the AI accelerator consumption)</t>
  </si>
  <si>
    <t>One-time corpus: documents/artifacts to ingest</t>
  </si>
  <si>
    <t>docs</t>
  </si>
  <si>
    <t>CMS docs, JIRA stories, Confluence pages, code files for ontology build</t>
  </si>
  <si>
    <t>Average tokens per document</t>
  </si>
  <si>
    <t>tokens</t>
  </si>
  <si>
    <t>≈ 4 pages of text per artifact</t>
  </si>
  <si>
    <t>Titan Embeddings v2 rate</t>
  </si>
  <si>
    <t>$/M tokens</t>
  </si>
  <si>
    <t>Source: AWS Bedrock pricing - amazon.titan-embed-text-v2:0</t>
  </si>
  <si>
    <t>LLM extraction volume</t>
  </si>
  <si>
    <t>M tokens in/wk</t>
  </si>
  <si>
    <t>Claude 3 Haiku input tokens - semantic extraction, ontology population, scoring</t>
  </si>
  <si>
    <t>Output-to-input token ratio</t>
  </si>
  <si>
    <t>Structured extraction output is compact</t>
  </si>
  <si>
    <t>Claude 3 Haiku input rate</t>
  </si>
  <si>
    <t>Source: AWS Bedrock pricing - anthropic.claude-3-haiku</t>
  </si>
  <si>
    <t>Claude 3 Haiku output rate</t>
  </si>
  <si>
    <t>Source: AWS Bedrock pricing</t>
  </si>
  <si>
    <t>Embedding refresh volume</t>
  </si>
  <si>
    <t>M tokens/wk</t>
  </si>
  <si>
    <t>Incremental re-embedding as ontology evolves</t>
  </si>
  <si>
    <t>Scenario multipliers (applied to usage-driven costs only)</t>
  </si>
  <si>
    <t>Low scenario</t>
  </si>
  <si>
    <t>Light usage - AI methods restricted / partial corpus</t>
  </si>
  <si>
    <t>Expected scenario</t>
  </si>
  <si>
    <t>Planned methodology usage</t>
  </si>
  <si>
    <t>High scenario</t>
  </si>
  <si>
    <t>Full corpus re-runs, heavy iteration</t>
  </si>
  <si>
    <t>Monthly Run Rate - Infrastructure (before regional multiplier)</t>
  </si>
  <si>
    <t>All formulas reference Inputs. Fixed = runs regardless of usage. Usage = scales with activity (scenario multipliers apply on Summary).</t>
  </si>
  <si>
    <t>Line item</t>
  </si>
  <si>
    <t>Category</t>
  </si>
  <si>
    <t>Type</t>
  </si>
  <si>
    <t>Monthly cost</t>
  </si>
  <si>
    <t>EKS control plane</t>
  </si>
  <si>
    <t>Compute</t>
  </si>
  <si>
    <t>Fixed</t>
  </si>
  <si>
    <t>EKS worker nodes (m5.2xlarge)</t>
  </si>
  <si>
    <t>Jump box (t3.micro)</t>
  </si>
  <si>
    <t>Application Load Balancer + LCUs</t>
  </si>
  <si>
    <t>Network</t>
  </si>
  <si>
    <t>Classic LB (Kong / Neo4j)</t>
  </si>
  <si>
    <t>NAT Gateway (hourly)</t>
  </si>
  <si>
    <t>NAT Gateway (data processed)</t>
  </si>
  <si>
    <t>Usage</t>
  </si>
  <si>
    <t>EBS volumes (gp3)</t>
  </si>
  <si>
    <t>Storage</t>
  </si>
  <si>
    <t>EFS (actual stored)</t>
  </si>
  <si>
    <t>S3</t>
  </si>
  <si>
    <t>ECR image storage</t>
  </si>
  <si>
    <t>RDS PostgreSQL instance (single-AZ)</t>
  </si>
  <si>
    <t>Database</t>
  </si>
  <si>
    <t>RDS storage (gp3)</t>
  </si>
  <si>
    <t>Secrets Manager</t>
  </si>
  <si>
    <t>Security</t>
  </si>
  <si>
    <t>GuardDuty</t>
  </si>
  <si>
    <t>CloudWatch logs ingestion</t>
  </si>
  <si>
    <t>Observability</t>
  </si>
  <si>
    <t>Container Insights metrics</t>
  </si>
  <si>
    <t>CloudWatch custom metrics</t>
  </si>
  <si>
    <t>S3 requests</t>
  </si>
  <si>
    <t xml:space="preserve">Storage </t>
  </si>
  <si>
    <t>Subtotal - Fixed</t>
  </si>
  <si>
    <t>Subtotal - Usage</t>
  </si>
  <si>
    <t>Total monthly infrastructure (us-east-1 baseline)</t>
  </si>
  <si>
    <t>Engagement Cost Summary - 14-Week BreezeAI Accelerator in KLC AWS</t>
  </si>
  <si>
    <t>Answers SOW comment: expected cost of running the AI accelerator in KLC's environment. Excludes Accion professional fees ($250,000 fixed, billed separately) and KLC-internal costs.</t>
  </si>
  <si>
    <t>Engagement months</t>
  </si>
  <si>
    <t>Cost block</t>
  </si>
  <si>
    <t>Low</t>
  </si>
  <si>
    <t>Expected</t>
  </si>
  <si>
    <t>High</t>
  </si>
  <si>
    <t>Basis</t>
  </si>
  <si>
    <t>Infrastructure - fixed (EKS, nodes, RDS, LBs, NAT, EBS, KMS…)</t>
  </si>
  <si>
    <t>Fixed monthly × months × regional multiplier (scenario-independent)</t>
  </si>
  <si>
    <t>Infrastructure - usage (NAT data, logs, EFS, transfer, GuardDuty…)</t>
  </si>
  <si>
    <t>Usage monthly × months × regional × scenario multiplier</t>
  </si>
  <si>
    <t>Bedrock - one-time corpus embedding</t>
  </si>
  <si>
    <t>docs × tokens/doc ÷ 1M × Titan rate × scenario</t>
  </si>
  <si>
    <t>Bedrock - LLM extraction (Claude 3 Haiku)</t>
  </si>
  <si>
    <t>(input Mtok × in-rate + output Mtok × out-rate) per week × weeks × scenario</t>
  </si>
  <si>
    <t>Bedrock - embedding refresh</t>
  </si>
  <si>
    <t>Mtok/wk × Titan rate × weeks × scenario</t>
  </si>
  <si>
    <t>TOTAL - engagement AWS cost</t>
  </si>
  <si>
    <t>Sum of blocks above</t>
  </si>
  <si>
    <t>≈ per week</t>
  </si>
  <si>
    <t>≈ per month</t>
  </si>
  <si>
    <t>Notes</t>
  </si>
  <si>
    <t>• Prices are AWS on-demand list (us-east-1 baseline, June 2026). Verify against the AWS pricing pages and the KLC-designated region before sending externally.</t>
  </si>
  <si>
    <t>• Excludes: Accion professional services fee ($250,000 fixed per SOW), KLC staff time, KLC enterprise tooling (Entra ID, Databricks), and any optional OpenAI usage.</t>
  </si>
  <si>
    <t>• Decommissioning at engagement end stops all charges; EFS/S3 snapshots can be retained for pennies per month if KLC wants the graph snapshot kept.</t>
  </si>
  <si>
    <t>• Neo4j runs in-cluster (no license cost - Community edition). AuraDB alternative would add ~$65–200/mo if KLC prefers managed.</t>
  </si>
  <si>
    <t>• Biggest levers: node count (Inputs!B11), LLM extraction volume (Inputs!B56), engagement weeks (Inputs!B5).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</si>
</sst>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\$#,##0.0000"/>
    <numFmt numFmtId="166" formatCode="\$#,##0.00"/>
    <numFmt numFmtId="167" formatCode="0.0"/>
    <numFmt numFmtId="168" formatCode="\$#,##0"/>
  </numFmts>
  <fonts count="1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9"/>
      <color rgb="FF7F7F7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167" fontId="5" fillId="2" borderId="1" xfId="0" applyNumberFormat="1" applyFont="1" applyFill="1" applyBorder="1"/>
    <xf numFmtId="0" fontId="7" fillId="3" borderId="1" xfId="0" applyFont="1" applyFill="1" applyBorder="1"/>
    <xf numFmtId="0" fontId="4" fillId="0" borderId="1" xfId="0" applyFont="1" applyBorder="1"/>
    <xf numFmtId="166" fontId="4" fillId="0" borderId="1" xfId="0" applyNumberFormat="1" applyFont="1" applyBorder="1"/>
    <xf numFmtId="0" fontId="4" fillId="4" borderId="1" xfId="0" applyFont="1" applyFill="1" applyBorder="1"/>
    <xf numFmtId="166" fontId="4" fillId="4" borderId="1" xfId="0" applyNumberFormat="1" applyFont="1" applyFill="1" applyBorder="1"/>
    <xf numFmtId="0" fontId="8" fillId="0" borderId="1" xfId="0" applyFont="1" applyBorder="1"/>
    <xf numFmtId="0" fontId="0" fillId="0" borderId="1" xfId="0" applyBorder="1"/>
    <xf numFmtId="166" fontId="8" fillId="0" borderId="1" xfId="0" applyNumberFormat="1" applyFont="1" applyBorder="1"/>
    <xf numFmtId="166" fontId="8" fillId="5" borderId="1" xfId="0" applyNumberFormat="1" applyFont="1" applyFill="1" applyBorder="1"/>
    <xf numFmtId="2" fontId="4" fillId="0" borderId="0" xfId="0" applyNumberFormat="1" applyFont="1"/>
    <xf numFmtId="168" fontId="4" fillId="0" borderId="1" xfId="0" applyNumberFormat="1" applyFont="1" applyBorder="1"/>
    <xf numFmtId="0" fontId="6" fillId="0" borderId="1" xfId="0" applyFont="1" applyBorder="1"/>
    <xf numFmtId="168" fontId="9" fillId="5" borderId="1" xfId="0" applyNumberFormat="1" applyFont="1" applyFill="1" applyBorder="1"/>
    <xf numFmtId="0" fontId="10" fillId="4" borderId="1" xfId="0" applyFont="1" applyFill="1" applyBorder="1"/>
    <xf numFmtId="166" fontId="10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zoomScaleNormal="100" workbookViewId="0">
      <selection activeCell="D54" sqref="D54"/>
    </sheetView>
  </sheetViews>
  <sheetFormatPr defaultColWidth="8.7109375" defaultRowHeight="15"/>
  <cols>
    <col min="1" max="1" width="44" customWidth="1"/>
    <col min="2" max="2" width="14" customWidth="1"/>
    <col min="3" max="3" width="13.140625" customWidth="1"/>
    <col min="4" max="4" width="64" customWidth="1"/>
  </cols>
  <sheetData>
    <row r="1" spans="1:4" ht="18">
      <c r="A1" s="1" t="s">
        <v>0</v>
      </c>
    </row>
    <row r="2" spans="1:4">
      <c r="A2" s="2" t="s">
        <v>1</v>
      </c>
    </row>
    <row r="4" spans="1:4">
      <c r="A4" s="3" t="s">
        <v>2</v>
      </c>
    </row>
    <row r="5" spans="1:4">
      <c r="A5" s="4" t="s">
        <v>3</v>
      </c>
      <c r="B5" s="5">
        <v>14</v>
      </c>
      <c r="C5" s="4" t="s">
        <v>4</v>
      </c>
      <c r="D5" s="6" t="s">
        <v>5</v>
      </c>
    </row>
    <row r="6" spans="1:4">
      <c r="A6" s="4" t="s">
        <v>6</v>
      </c>
      <c r="B6" s="7">
        <v>1</v>
      </c>
      <c r="C6" s="4" t="s">
        <v>7</v>
      </c>
      <c r="D6" s="6" t="s">
        <v>8</v>
      </c>
    </row>
    <row r="7" spans="1:4">
      <c r="A7" s="4" t="s">
        <v>9</v>
      </c>
      <c r="B7" s="8">
        <v>4.3449999999999998</v>
      </c>
      <c r="C7" s="4" t="s">
        <v>10</v>
      </c>
      <c r="D7" s="6" t="s">
        <v>11</v>
      </c>
    </row>
    <row r="8" spans="1:4">
      <c r="A8" s="4" t="s">
        <v>12</v>
      </c>
      <c r="B8" s="5">
        <v>730</v>
      </c>
      <c r="C8" s="4" t="s">
        <v>13</v>
      </c>
      <c r="D8" s="6" t="s">
        <v>14</v>
      </c>
    </row>
    <row r="10" spans="1:4">
      <c r="A10" s="3" t="s">
        <v>15</v>
      </c>
    </row>
    <row r="11" spans="1:4">
      <c r="A11" s="4" t="s">
        <v>16</v>
      </c>
      <c r="B11" s="5">
        <v>4</v>
      </c>
      <c r="C11" s="4" t="s">
        <v>17</v>
      </c>
      <c r="D11" s="6" t="s">
        <v>18</v>
      </c>
    </row>
    <row r="12" spans="1:4">
      <c r="A12" s="4" t="s">
        <v>19</v>
      </c>
      <c r="B12" s="9">
        <v>0.38400000000000001</v>
      </c>
      <c r="C12" s="4" t="s">
        <v>20</v>
      </c>
      <c r="D12" s="6" t="s">
        <v>21</v>
      </c>
    </row>
    <row r="13" spans="1:4">
      <c r="A13" s="4" t="s">
        <v>22</v>
      </c>
      <c r="B13" s="9">
        <v>0.1</v>
      </c>
      <c r="C13" s="4" t="s">
        <v>20</v>
      </c>
      <c r="D13" s="6" t="s">
        <v>23</v>
      </c>
    </row>
    <row r="14" spans="1:4">
      <c r="A14" s="4" t="s">
        <v>24</v>
      </c>
      <c r="B14" s="9">
        <v>1.04E-2</v>
      </c>
      <c r="C14" s="4" t="s">
        <v>20</v>
      </c>
      <c r="D14" s="6" t="s">
        <v>25</v>
      </c>
    </row>
    <row r="15" spans="1:4">
      <c r="A15" s="4" t="s">
        <v>26</v>
      </c>
      <c r="B15" s="5">
        <v>1</v>
      </c>
      <c r="C15" s="4" t="s">
        <v>27</v>
      </c>
      <c r="D15" s="6" t="s">
        <v>28</v>
      </c>
    </row>
    <row r="16" spans="1:4">
      <c r="A16" s="4" t="s">
        <v>29</v>
      </c>
      <c r="B16" s="9">
        <v>2.2499999999999999E-2</v>
      </c>
      <c r="C16" s="4" t="s">
        <v>20</v>
      </c>
      <c r="D16" s="6" t="s">
        <v>30</v>
      </c>
    </row>
    <row r="17" spans="1:4">
      <c r="A17" s="4" t="s">
        <v>31</v>
      </c>
      <c r="B17" s="5">
        <v>3</v>
      </c>
      <c r="C17" s="4" t="s">
        <v>32</v>
      </c>
      <c r="D17" s="6" t="s">
        <v>33</v>
      </c>
    </row>
    <row r="18" spans="1:4">
      <c r="A18" s="4" t="s">
        <v>34</v>
      </c>
      <c r="B18" s="9">
        <v>8.0000000000000002E-3</v>
      </c>
      <c r="C18" s="4" t="s">
        <v>35</v>
      </c>
      <c r="D18" s="6" t="s">
        <v>30</v>
      </c>
    </row>
    <row r="19" spans="1:4">
      <c r="A19" s="4" t="s">
        <v>36</v>
      </c>
      <c r="B19" s="5">
        <v>2</v>
      </c>
      <c r="C19" s="4" t="s">
        <v>27</v>
      </c>
      <c r="D19" s="6" t="s">
        <v>37</v>
      </c>
    </row>
    <row r="20" spans="1:4">
      <c r="A20" s="4" t="s">
        <v>38</v>
      </c>
      <c r="B20" s="9">
        <v>2.5000000000000001E-2</v>
      </c>
      <c r="C20" s="4" t="s">
        <v>20</v>
      </c>
      <c r="D20" s="6" t="s">
        <v>30</v>
      </c>
    </row>
    <row r="21" spans="1:4">
      <c r="A21" s="4" t="s">
        <v>39</v>
      </c>
      <c r="B21" s="9">
        <v>4.4999999999999998E-2</v>
      </c>
      <c r="C21" s="4" t="s">
        <v>20</v>
      </c>
      <c r="D21" s="6" t="s">
        <v>40</v>
      </c>
    </row>
    <row r="22" spans="1:4">
      <c r="A22" s="4" t="s">
        <v>41</v>
      </c>
      <c r="B22" s="5">
        <v>200</v>
      </c>
      <c r="C22" s="4" t="s">
        <v>42</v>
      </c>
      <c r="D22" s="6" t="s">
        <v>43</v>
      </c>
    </row>
    <row r="23" spans="1:4">
      <c r="A23" s="4" t="s">
        <v>44</v>
      </c>
      <c r="B23" s="9">
        <v>4.4999999999999998E-2</v>
      </c>
      <c r="C23" s="4" t="s">
        <v>45</v>
      </c>
      <c r="D23" s="6" t="s">
        <v>46</v>
      </c>
    </row>
    <row r="24" spans="1:4">
      <c r="A24" s="4" t="s">
        <v>47</v>
      </c>
      <c r="B24" s="5">
        <v>20</v>
      </c>
      <c r="C24" s="4" t="s">
        <v>42</v>
      </c>
      <c r="D24" s="6"/>
    </row>
    <row r="25" spans="1:4">
      <c r="A25" s="4" t="s">
        <v>48</v>
      </c>
      <c r="B25" s="9">
        <v>0.01</v>
      </c>
      <c r="C25" s="4" t="s">
        <v>45</v>
      </c>
      <c r="D25" s="6"/>
    </row>
    <row r="27" spans="1:4">
      <c r="A27" s="3" t="s">
        <v>49</v>
      </c>
    </row>
    <row r="28" spans="1:4">
      <c r="A28" s="4" t="s">
        <v>50</v>
      </c>
      <c r="B28" s="5">
        <v>250</v>
      </c>
      <c r="C28" s="4" t="s">
        <v>51</v>
      </c>
      <c r="D28" s="6" t="s">
        <v>52</v>
      </c>
    </row>
    <row r="29" spans="1:4">
      <c r="A29" s="4" t="s">
        <v>53</v>
      </c>
      <c r="B29" s="9">
        <v>0.08</v>
      </c>
      <c r="C29" s="4" t="s">
        <v>54</v>
      </c>
      <c r="D29" s="6" t="s">
        <v>55</v>
      </c>
    </row>
    <row r="30" spans="1:4">
      <c r="A30" s="4" t="s">
        <v>56</v>
      </c>
      <c r="B30" s="5">
        <v>60</v>
      </c>
      <c r="C30" s="4" t="s">
        <v>51</v>
      </c>
      <c r="D30" s="6" t="s">
        <v>57</v>
      </c>
    </row>
    <row r="31" spans="1:4">
      <c r="A31" s="4" t="s">
        <v>58</v>
      </c>
      <c r="B31" s="9">
        <v>0.3</v>
      </c>
      <c r="C31" s="4" t="s">
        <v>54</v>
      </c>
      <c r="D31" s="6" t="s">
        <v>59</v>
      </c>
    </row>
    <row r="32" spans="1:4">
      <c r="A32" s="4" t="s">
        <v>60</v>
      </c>
      <c r="B32" s="9">
        <v>0.13600000000000001</v>
      </c>
      <c r="C32" s="4" t="s">
        <v>20</v>
      </c>
      <c r="D32" s="6" t="s">
        <v>61</v>
      </c>
    </row>
    <row r="33" spans="1:4">
      <c r="A33" s="4" t="s">
        <v>62</v>
      </c>
      <c r="B33" s="5">
        <v>100</v>
      </c>
      <c r="C33" s="4" t="s">
        <v>51</v>
      </c>
      <c r="D33" s="6" t="s">
        <v>63</v>
      </c>
    </row>
    <row r="34" spans="1:4">
      <c r="A34" s="4" t="s">
        <v>64</v>
      </c>
      <c r="B34" s="9">
        <v>0.115</v>
      </c>
      <c r="C34" s="4" t="s">
        <v>54</v>
      </c>
      <c r="D34" s="6" t="s">
        <v>65</v>
      </c>
    </row>
    <row r="35" spans="1:4">
      <c r="A35" s="4" t="s">
        <v>66</v>
      </c>
      <c r="B35" s="5">
        <v>50</v>
      </c>
      <c r="C35" s="4" t="s">
        <v>67</v>
      </c>
      <c r="D35" s="6" t="s">
        <v>68</v>
      </c>
    </row>
    <row r="36" spans="1:4">
      <c r="A36" s="4" t="s">
        <v>69</v>
      </c>
      <c r="B36" s="9">
        <v>2.3E-2</v>
      </c>
      <c r="C36" s="4" t="s">
        <v>70</v>
      </c>
      <c r="D36" s="6" t="s">
        <v>71</v>
      </c>
    </row>
    <row r="37" spans="1:4">
      <c r="A37" s="4" t="s">
        <v>72</v>
      </c>
      <c r="B37" s="5">
        <v>10</v>
      </c>
      <c r="C37" s="4" t="s">
        <v>67</v>
      </c>
      <c r="D37" s="6" t="s">
        <v>73</v>
      </c>
    </row>
    <row r="38" spans="1:4">
      <c r="A38" s="4" t="s">
        <v>74</v>
      </c>
      <c r="B38" s="9">
        <v>0.1</v>
      </c>
      <c r="C38" s="4" t="s">
        <v>70</v>
      </c>
      <c r="D38" s="6" t="s">
        <v>75</v>
      </c>
    </row>
    <row r="39" spans="1:4">
      <c r="A39" s="4" t="s">
        <v>76</v>
      </c>
      <c r="B39" s="5">
        <v>1000</v>
      </c>
      <c r="C39" s="4" t="s">
        <v>77</v>
      </c>
      <c r="D39" s="6"/>
    </row>
    <row r="40" spans="1:4">
      <c r="A40" s="4" t="s">
        <v>78</v>
      </c>
      <c r="B40" s="9">
        <v>5.0000000000000001E-3</v>
      </c>
      <c r="C40" s="4" t="s">
        <v>79</v>
      </c>
      <c r="D40" s="6"/>
    </row>
    <row r="41" spans="1:4">
      <c r="A41" s="4" t="s">
        <v>80</v>
      </c>
      <c r="B41" s="5">
        <v>5000</v>
      </c>
      <c r="C41" s="4" t="s">
        <v>77</v>
      </c>
      <c r="D41" s="6"/>
    </row>
    <row r="42" spans="1:4">
      <c r="A42" s="4" t="s">
        <v>81</v>
      </c>
      <c r="B42" s="9">
        <v>4.0000000000000002E-4</v>
      </c>
      <c r="C42" s="4" t="s">
        <v>79</v>
      </c>
      <c r="D42" s="6"/>
    </row>
    <row r="44" spans="1:4">
      <c r="A44" s="3" t="s">
        <v>82</v>
      </c>
    </row>
    <row r="45" spans="1:4">
      <c r="A45" s="4" t="s">
        <v>83</v>
      </c>
      <c r="B45" s="5">
        <v>5</v>
      </c>
      <c r="C45" s="4" t="s">
        <v>84</v>
      </c>
      <c r="D45" s="6" t="s">
        <v>85</v>
      </c>
    </row>
    <row r="46" spans="1:4">
      <c r="A46" s="4" t="s">
        <v>86</v>
      </c>
      <c r="B46" s="9">
        <v>0.4</v>
      </c>
      <c r="C46" s="4" t="s">
        <v>87</v>
      </c>
      <c r="D46" s="6" t="s">
        <v>88</v>
      </c>
    </row>
    <row r="47" spans="1:4">
      <c r="A47" s="4" t="s">
        <v>89</v>
      </c>
      <c r="B47" s="5">
        <v>2</v>
      </c>
      <c r="C47" s="4" t="s">
        <v>90</v>
      </c>
      <c r="D47" s="6" t="s">
        <v>91</v>
      </c>
    </row>
    <row r="48" spans="1:4">
      <c r="A48" s="4" t="s">
        <v>92</v>
      </c>
      <c r="B48" s="10">
        <v>1</v>
      </c>
      <c r="C48" s="4" t="s">
        <v>93</v>
      </c>
      <c r="D48" s="6" t="s">
        <v>94</v>
      </c>
    </row>
    <row r="49" spans="1:4">
      <c r="A49" s="4" t="s">
        <v>95</v>
      </c>
      <c r="B49" s="10">
        <v>10</v>
      </c>
      <c r="C49" s="4" t="s">
        <v>96</v>
      </c>
      <c r="D49" s="6" t="s">
        <v>97</v>
      </c>
    </row>
    <row r="50" spans="1:4">
      <c r="A50" s="4" t="s">
        <v>98</v>
      </c>
      <c r="B50" s="5">
        <v>30</v>
      </c>
      <c r="C50" s="4" t="s">
        <v>42</v>
      </c>
      <c r="D50" s="6" t="s">
        <v>99</v>
      </c>
    </row>
    <row r="51" spans="1:4">
      <c r="A51" s="4" t="s">
        <v>100</v>
      </c>
      <c r="B51" s="9">
        <v>0.5</v>
      </c>
      <c r="C51" s="4" t="s">
        <v>45</v>
      </c>
      <c r="D51" s="6" t="s">
        <v>101</v>
      </c>
    </row>
    <row r="52" spans="1:4">
      <c r="A52" s="4" t="s">
        <v>102</v>
      </c>
      <c r="B52" s="5">
        <v>30</v>
      </c>
      <c r="C52" s="4" t="s">
        <v>103</v>
      </c>
      <c r="D52" s="6" t="s">
        <v>104</v>
      </c>
    </row>
    <row r="53" spans="1:4">
      <c r="A53" s="4" t="s">
        <v>105</v>
      </c>
      <c r="B53" s="9">
        <v>0.1</v>
      </c>
      <c r="C53" s="4" t="s">
        <v>106</v>
      </c>
      <c r="D53" s="6" t="s">
        <v>101</v>
      </c>
    </row>
    <row r="54" spans="1:4">
      <c r="A54" s="4" t="s">
        <v>107</v>
      </c>
      <c r="B54" s="5">
        <v>50</v>
      </c>
      <c r="C54" s="4" t="s">
        <v>108</v>
      </c>
      <c r="D54" s="6"/>
    </row>
    <row r="55" spans="1:4">
      <c r="A55" s="4" t="s">
        <v>109</v>
      </c>
      <c r="B55" s="9">
        <v>0.3</v>
      </c>
      <c r="C55" s="4" t="s">
        <v>110</v>
      </c>
      <c r="D55" s="6"/>
    </row>
    <row r="56" spans="1:4">
      <c r="A56" s="4" t="s">
        <v>111</v>
      </c>
      <c r="B56" s="5">
        <v>1</v>
      </c>
      <c r="C56" s="4" t="s">
        <v>112</v>
      </c>
      <c r="D56" s="6"/>
    </row>
    <row r="57" spans="1:4">
      <c r="A57" s="4" t="s">
        <v>113</v>
      </c>
      <c r="B57" s="9">
        <v>3</v>
      </c>
      <c r="C57" s="4" t="s">
        <v>114</v>
      </c>
      <c r="D57" s="6"/>
    </row>
    <row r="58" spans="1:4">
      <c r="A58" s="4" t="s">
        <v>115</v>
      </c>
      <c r="B58" s="5">
        <v>30</v>
      </c>
      <c r="C58" s="4" t="s">
        <v>116</v>
      </c>
      <c r="D58" s="6"/>
    </row>
    <row r="59" spans="1:4">
      <c r="A59" s="4" t="s">
        <v>117</v>
      </c>
      <c r="B59" s="9">
        <v>0.03</v>
      </c>
      <c r="C59" s="4" t="s">
        <v>70</v>
      </c>
      <c r="D59" s="6"/>
    </row>
    <row r="60" spans="1:4">
      <c r="A60" s="4" t="s">
        <v>118</v>
      </c>
      <c r="B60" s="10">
        <v>25</v>
      </c>
      <c r="C60" s="4" t="s">
        <v>96</v>
      </c>
      <c r="D60" s="6" t="s">
        <v>119</v>
      </c>
    </row>
    <row r="61" spans="1:4">
      <c r="A61" s="4" t="s">
        <v>120</v>
      </c>
      <c r="B61" s="5">
        <v>50</v>
      </c>
      <c r="C61" s="4" t="s">
        <v>42</v>
      </c>
      <c r="D61" s="6" t="s">
        <v>121</v>
      </c>
    </row>
    <row r="62" spans="1:4">
      <c r="A62" s="4" t="s">
        <v>122</v>
      </c>
      <c r="B62" s="9">
        <v>0.09</v>
      </c>
      <c r="C62" s="4" t="s">
        <v>45</v>
      </c>
      <c r="D62" s="6" t="s">
        <v>123</v>
      </c>
    </row>
    <row r="64" spans="1:4">
      <c r="A64" s="3" t="s">
        <v>124</v>
      </c>
    </row>
    <row r="65" spans="1:4">
      <c r="A65" s="4" t="s">
        <v>125</v>
      </c>
      <c r="B65" s="5">
        <v>5000</v>
      </c>
      <c r="C65" s="4" t="s">
        <v>126</v>
      </c>
      <c r="D65" s="6" t="s">
        <v>127</v>
      </c>
    </row>
    <row r="66" spans="1:4">
      <c r="A66" s="4" t="s">
        <v>128</v>
      </c>
      <c r="B66" s="5">
        <v>3000</v>
      </c>
      <c r="C66" s="4" t="s">
        <v>129</v>
      </c>
      <c r="D66" s="6" t="s">
        <v>130</v>
      </c>
    </row>
    <row r="67" spans="1:4">
      <c r="A67" s="4" t="s">
        <v>131</v>
      </c>
      <c r="B67" s="9">
        <v>0.02</v>
      </c>
      <c r="C67" s="4" t="s">
        <v>132</v>
      </c>
      <c r="D67" s="6" t="s">
        <v>133</v>
      </c>
    </row>
    <row r="68" spans="1:4">
      <c r="A68" s="4" t="s">
        <v>134</v>
      </c>
      <c r="B68" s="5">
        <v>40</v>
      </c>
      <c r="C68" s="4" t="s">
        <v>135</v>
      </c>
      <c r="D68" s="6" t="s">
        <v>136</v>
      </c>
    </row>
    <row r="69" spans="1:4">
      <c r="A69" s="4" t="s">
        <v>137</v>
      </c>
      <c r="B69" s="7">
        <v>0.2</v>
      </c>
      <c r="C69" s="4" t="s">
        <v>7</v>
      </c>
      <c r="D69" s="6" t="s">
        <v>138</v>
      </c>
    </row>
    <row r="70" spans="1:4">
      <c r="A70" s="4" t="s">
        <v>139</v>
      </c>
      <c r="B70" s="9">
        <v>0.25</v>
      </c>
      <c r="C70" s="4" t="s">
        <v>132</v>
      </c>
      <c r="D70" s="6" t="s">
        <v>140</v>
      </c>
    </row>
    <row r="71" spans="1:4">
      <c r="A71" s="4" t="s">
        <v>141</v>
      </c>
      <c r="B71" s="9">
        <v>1.25</v>
      </c>
      <c r="C71" s="4" t="s">
        <v>132</v>
      </c>
      <c r="D71" s="6" t="s">
        <v>142</v>
      </c>
    </row>
    <row r="72" spans="1:4">
      <c r="A72" s="4" t="s">
        <v>143</v>
      </c>
      <c r="B72" s="5">
        <v>5</v>
      </c>
      <c r="C72" s="4" t="s">
        <v>144</v>
      </c>
      <c r="D72" s="6" t="s">
        <v>145</v>
      </c>
    </row>
    <row r="74" spans="1:4">
      <c r="A74" s="3" t="s">
        <v>146</v>
      </c>
    </row>
    <row r="75" spans="1:4">
      <c r="A75" s="4" t="s">
        <v>147</v>
      </c>
      <c r="B75" s="11">
        <v>0.5</v>
      </c>
      <c r="C75" s="4" t="s">
        <v>7</v>
      </c>
      <c r="D75" s="6" t="s">
        <v>148</v>
      </c>
    </row>
    <row r="76" spans="1:4">
      <c r="A76" s="4" t="s">
        <v>149</v>
      </c>
      <c r="B76" s="11">
        <v>1</v>
      </c>
      <c r="C76" s="4" t="s">
        <v>7</v>
      </c>
      <c r="D76" s="6" t="s">
        <v>150</v>
      </c>
    </row>
    <row r="77" spans="1:4">
      <c r="A77" s="4" t="s">
        <v>151</v>
      </c>
      <c r="B77" s="11">
        <v>2</v>
      </c>
      <c r="C77" s="4" t="s">
        <v>7</v>
      </c>
      <c r="D77" s="6" t="s">
        <v>152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zoomScaleNormal="100" workbookViewId="0">
      <pane ySplit="4" topLeftCell="A25" activePane="bottomLeft" state="frozen"/>
      <selection pane="bottomLeft" activeCell="D36" sqref="A36:D36"/>
    </sheetView>
  </sheetViews>
  <sheetFormatPr defaultColWidth="8.7109375" defaultRowHeight="15"/>
  <cols>
    <col min="1" max="1" width="44" customWidth="1"/>
    <col min="2" max="2" width="22" customWidth="1"/>
    <col min="3" max="3" width="12" customWidth="1"/>
    <col min="4" max="4" width="16" customWidth="1"/>
  </cols>
  <sheetData>
    <row r="1" spans="1:4" ht="18">
      <c r="A1" s="1" t="s">
        <v>153</v>
      </c>
    </row>
    <row r="2" spans="1:4">
      <c r="A2" s="2" t="s">
        <v>154</v>
      </c>
    </row>
    <row r="4" spans="1:4">
      <c r="A4" s="12" t="s">
        <v>155</v>
      </c>
      <c r="B4" s="12" t="s">
        <v>156</v>
      </c>
      <c r="C4" s="12" t="s">
        <v>157</v>
      </c>
      <c r="D4" s="12" t="s">
        <v>158</v>
      </c>
    </row>
    <row r="5" spans="1:4">
      <c r="A5" s="13" t="s">
        <v>159</v>
      </c>
      <c r="B5" s="13" t="s">
        <v>160</v>
      </c>
      <c r="C5" s="13" t="s">
        <v>161</v>
      </c>
      <c r="D5" s="14">
        <f>Inputs!B13*Inputs!B8</f>
        <v>73</v>
      </c>
    </row>
    <row r="6" spans="1:4">
      <c r="A6" s="15" t="s">
        <v>162</v>
      </c>
      <c r="B6" s="15" t="s">
        <v>160</v>
      </c>
      <c r="C6" s="15" t="s">
        <v>161</v>
      </c>
      <c r="D6" s="16">
        <f>Inputs!B11*Inputs!B12*Inputs!B8</f>
        <v>1121.28</v>
      </c>
    </row>
    <row r="7" spans="1:4">
      <c r="A7" s="13" t="s">
        <v>163</v>
      </c>
      <c r="B7" s="13" t="s">
        <v>160</v>
      </c>
      <c r="C7" s="13" t="s">
        <v>161</v>
      </c>
      <c r="D7" s="14">
        <f>Inputs!B14*Inputs!B8</f>
        <v>7.5919999999999996</v>
      </c>
    </row>
    <row r="8" spans="1:4">
      <c r="A8" s="15" t="s">
        <v>164</v>
      </c>
      <c r="B8" s="15" t="s">
        <v>165</v>
      </c>
      <c r="C8" s="15" t="s">
        <v>161</v>
      </c>
      <c r="D8" s="16">
        <f>Inputs!B15*(Inputs!B16+Inputs!B17*Inputs!B18)*Inputs!B8</f>
        <v>33.945</v>
      </c>
    </row>
    <row r="9" spans="1:4">
      <c r="A9" s="13" t="s">
        <v>166</v>
      </c>
      <c r="B9" s="13" t="s">
        <v>165</v>
      </c>
      <c r="C9" s="13" t="s">
        <v>161</v>
      </c>
      <c r="D9" s="14">
        <f>Inputs!B19*Inputs!B20*Inputs!B8</f>
        <v>36.5</v>
      </c>
    </row>
    <row r="10" spans="1:4">
      <c r="A10" s="15" t="s">
        <v>167</v>
      </c>
      <c r="B10" s="15" t="s">
        <v>165</v>
      </c>
      <c r="C10" s="15" t="s">
        <v>161</v>
      </c>
      <c r="D10" s="16">
        <f>Inputs!B21*Inputs!B8</f>
        <v>32.85</v>
      </c>
    </row>
    <row r="11" spans="1:4">
      <c r="A11" s="13" t="s">
        <v>168</v>
      </c>
      <c r="B11" s="13" t="s">
        <v>165</v>
      </c>
      <c r="C11" s="13" t="s">
        <v>169</v>
      </c>
      <c r="D11" s="14">
        <f>Inputs!B22*Inputs!B23</f>
        <v>9</v>
      </c>
    </row>
    <row r="12" spans="1:4">
      <c r="A12" s="15" t="s">
        <v>120</v>
      </c>
      <c r="B12" s="15" t="s">
        <v>165</v>
      </c>
      <c r="C12" s="15" t="s">
        <v>169</v>
      </c>
      <c r="D12" s="16">
        <f>Inputs!B61*Inputs!B62</f>
        <v>4.5</v>
      </c>
    </row>
    <row r="13" spans="1:4">
      <c r="A13" s="13" t="s">
        <v>170</v>
      </c>
      <c r="B13" s="13" t="s">
        <v>171</v>
      </c>
      <c r="C13" s="13" t="s">
        <v>161</v>
      </c>
      <c r="D13" s="14">
        <f>Inputs!B28*Inputs!B29</f>
        <v>20</v>
      </c>
    </row>
    <row r="14" spans="1:4">
      <c r="A14" s="15" t="s">
        <v>172</v>
      </c>
      <c r="B14" s="15" t="s">
        <v>171</v>
      </c>
      <c r="C14" s="15" t="s">
        <v>169</v>
      </c>
      <c r="D14" s="16">
        <f>Inputs!B30*Inputs!B31</f>
        <v>18</v>
      </c>
    </row>
    <row r="15" spans="1:4">
      <c r="A15" s="13" t="s">
        <v>173</v>
      </c>
      <c r="B15" s="13" t="s">
        <v>171</v>
      </c>
      <c r="C15" s="13" t="s">
        <v>169</v>
      </c>
      <c r="D15" s="14">
        <f>Inputs!B35*Inputs!B36</f>
        <v>1.1499999999999999</v>
      </c>
    </row>
    <row r="16" spans="1:4">
      <c r="A16" s="15" t="s">
        <v>174</v>
      </c>
      <c r="B16" s="15" t="s">
        <v>171</v>
      </c>
      <c r="C16" s="15" t="s">
        <v>161</v>
      </c>
      <c r="D16" s="16">
        <f>Inputs!B37*Inputs!B38</f>
        <v>1</v>
      </c>
    </row>
    <row r="17" spans="1:4">
      <c r="A17" s="13" t="s">
        <v>175</v>
      </c>
      <c r="B17" s="13" t="s">
        <v>176</v>
      </c>
      <c r="C17" s="13" t="s">
        <v>161</v>
      </c>
      <c r="D17" s="14">
        <f>Inputs!B32*Inputs!B8</f>
        <v>99.28</v>
      </c>
    </row>
    <row r="18" spans="1:4">
      <c r="A18" s="15" t="s">
        <v>177</v>
      </c>
      <c r="B18" s="15" t="s">
        <v>176</v>
      </c>
      <c r="C18" s="15" t="s">
        <v>161</v>
      </c>
      <c r="D18" s="16">
        <f>Inputs!B33*Inputs!B34</f>
        <v>11.5</v>
      </c>
    </row>
    <row r="19" spans="1:4">
      <c r="A19" s="13" t="s">
        <v>178</v>
      </c>
      <c r="B19" s="13" t="s">
        <v>179</v>
      </c>
      <c r="C19" s="13" t="s">
        <v>161</v>
      </c>
      <c r="D19" s="14">
        <f>Inputs!B45*Inputs!B46</f>
        <v>2</v>
      </c>
    </row>
    <row r="20" spans="1:4">
      <c r="A20" s="15" t="s">
        <v>89</v>
      </c>
      <c r="B20" s="15" t="s">
        <v>179</v>
      </c>
      <c r="C20" s="15" t="s">
        <v>161</v>
      </c>
      <c r="D20" s="16">
        <f>Inputs!B47*Inputs!B48</f>
        <v>2</v>
      </c>
    </row>
    <row r="21" spans="1:4">
      <c r="A21" s="13" t="s">
        <v>180</v>
      </c>
      <c r="B21" s="13" t="s">
        <v>179</v>
      </c>
      <c r="C21" s="13" t="s">
        <v>169</v>
      </c>
      <c r="D21" s="14">
        <f>Inputs!B49</f>
        <v>10</v>
      </c>
    </row>
    <row r="22" spans="1:4">
      <c r="A22" s="15" t="s">
        <v>181</v>
      </c>
      <c r="B22" s="15" t="s">
        <v>182</v>
      </c>
      <c r="C22" s="15" t="s">
        <v>169</v>
      </c>
      <c r="D22" s="16">
        <f>Inputs!B50*Inputs!B51</f>
        <v>15</v>
      </c>
    </row>
    <row r="23" spans="1:4">
      <c r="A23" s="13" t="s">
        <v>102</v>
      </c>
      <c r="B23" s="13" t="s">
        <v>182</v>
      </c>
      <c r="C23" s="13" t="s">
        <v>161</v>
      </c>
      <c r="D23" s="14">
        <f>Inputs!B52*Inputs!B53</f>
        <v>3</v>
      </c>
    </row>
    <row r="24" spans="1:4">
      <c r="A24" s="15" t="s">
        <v>183</v>
      </c>
      <c r="B24" s="15" t="s">
        <v>182</v>
      </c>
      <c r="C24" s="15" t="s">
        <v>169</v>
      </c>
      <c r="D24" s="16">
        <f>Inputs!B60</f>
        <v>25</v>
      </c>
    </row>
    <row r="25" spans="1:4">
      <c r="A25" s="15" t="s">
        <v>115</v>
      </c>
      <c r="B25" s="15" t="s">
        <v>182</v>
      </c>
      <c r="C25" s="15" t="s">
        <v>169</v>
      </c>
      <c r="D25" s="16">
        <v>0.9</v>
      </c>
    </row>
    <row r="26" spans="1:4">
      <c r="A26" s="15" t="s">
        <v>111</v>
      </c>
      <c r="B26" s="13" t="s">
        <v>182</v>
      </c>
      <c r="C26" s="13" t="s">
        <v>161</v>
      </c>
      <c r="D26" s="16">
        <v>3</v>
      </c>
    </row>
    <row r="27" spans="1:4">
      <c r="A27" s="15" t="s">
        <v>184</v>
      </c>
      <c r="B27" s="15" t="s">
        <v>182</v>
      </c>
      <c r="C27" s="15" t="s">
        <v>169</v>
      </c>
      <c r="D27" s="16">
        <v>15</v>
      </c>
    </row>
    <row r="28" spans="1:4">
      <c r="A28" s="25" t="s">
        <v>185</v>
      </c>
      <c r="B28" s="25" t="s">
        <v>186</v>
      </c>
      <c r="C28" s="15" t="s">
        <v>169</v>
      </c>
      <c r="D28" s="26">
        <v>0.01</v>
      </c>
    </row>
    <row r="29" spans="1:4">
      <c r="A29" s="25"/>
      <c r="B29" s="25"/>
      <c r="C29" s="25"/>
      <c r="D29" s="26"/>
    </row>
    <row r="31" spans="1:4">
      <c r="A31" s="17" t="s">
        <v>187</v>
      </c>
      <c r="B31" s="18"/>
      <c r="C31" s="18"/>
      <c r="D31" s="19">
        <f>SUMIF(C5:C24,"Fixed",D5:D24)</f>
        <v>1443.9469999999999</v>
      </c>
    </row>
    <row r="32" spans="1:4">
      <c r="A32" s="17" t="s">
        <v>188</v>
      </c>
      <c r="B32" s="18"/>
      <c r="C32" s="18"/>
      <c r="D32" s="19">
        <f>SUMIF(C5:C24,"Usage",D5:D24)</f>
        <v>82.65</v>
      </c>
    </row>
    <row r="33" spans="1:4">
      <c r="A33" s="17" t="s">
        <v>189</v>
      </c>
      <c r="B33" s="18"/>
      <c r="C33" s="18"/>
      <c r="D33" s="20">
        <f>D31+D32</f>
        <v>1526.597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topLeftCell="A5" zoomScaleNormal="100" workbookViewId="0">
      <selection activeCell="A12" sqref="A12"/>
    </sheetView>
  </sheetViews>
  <sheetFormatPr defaultColWidth="8.7109375" defaultRowHeight="15"/>
  <cols>
    <col min="1" max="1" width="58.5703125" customWidth="1"/>
    <col min="2" max="4" width="16" customWidth="1"/>
    <col min="5" max="5" width="50" customWidth="1"/>
  </cols>
  <sheetData>
    <row r="1" spans="1:5" ht="18">
      <c r="A1" s="1" t="s">
        <v>190</v>
      </c>
    </row>
    <row r="2" spans="1:5">
      <c r="A2" s="2" t="s">
        <v>191</v>
      </c>
    </row>
    <row r="4" spans="1:5">
      <c r="A4" s="4" t="s">
        <v>192</v>
      </c>
      <c r="B4" s="21">
        <f>Inputs!B5/Inputs!B7</f>
        <v>3.222094361334868</v>
      </c>
    </row>
    <row r="6" spans="1:5">
      <c r="A6" s="12" t="s">
        <v>193</v>
      </c>
      <c r="B6" s="12" t="s">
        <v>194</v>
      </c>
      <c r="C6" s="12" t="s">
        <v>195</v>
      </c>
      <c r="D6" s="12" t="s">
        <v>196</v>
      </c>
      <c r="E6" s="12" t="s">
        <v>197</v>
      </c>
    </row>
    <row r="7" spans="1:5">
      <c r="A7" s="13" t="s">
        <v>198</v>
      </c>
      <c r="B7" s="22">
        <f>'Monthly Costs'!D31*$B$4*Inputs!B6</f>
        <v>4652.5334867663987</v>
      </c>
      <c r="C7" s="22">
        <f>'Monthly Costs'!D31*$B$4*Inputs!B6</f>
        <v>4652.5334867663987</v>
      </c>
      <c r="D7" s="22">
        <f>'Monthly Costs'!D31*$B$4*Inputs!B6</f>
        <v>4652.5334867663987</v>
      </c>
      <c r="E7" s="23" t="s">
        <v>199</v>
      </c>
    </row>
    <row r="8" spans="1:5">
      <c r="A8" s="13" t="s">
        <v>200</v>
      </c>
      <c r="B8" s="22">
        <f>'Monthly Costs'!D32*$B$4*Inputs!B6*Inputs!B75</f>
        <v>133.15304948216342</v>
      </c>
      <c r="C8" s="22">
        <f>'Monthly Costs'!D32*$B$4*Inputs!B6*Inputs!B76</f>
        <v>266.30609896432685</v>
      </c>
      <c r="D8" s="22">
        <f>'Monthly Costs'!D32*$B$4*Inputs!B6*Inputs!B77</f>
        <v>532.6121979286537</v>
      </c>
      <c r="E8" s="23" t="s">
        <v>201</v>
      </c>
    </row>
    <row r="9" spans="1:5">
      <c r="A9" s="13" t="s">
        <v>202</v>
      </c>
      <c r="B9" s="22">
        <f>Inputs!B65*Inputs!B66/1000000*Inputs!B67*Inputs!B75</f>
        <v>0.15</v>
      </c>
      <c r="C9" s="22">
        <f>Inputs!B65*Inputs!B66/1000000*Inputs!B67*Inputs!B76</f>
        <v>0.3</v>
      </c>
      <c r="D9" s="22">
        <f>Inputs!B65*Inputs!B66/1000000*Inputs!B67*Inputs!B77</f>
        <v>0.6</v>
      </c>
      <c r="E9" s="23" t="s">
        <v>203</v>
      </c>
    </row>
    <row r="10" spans="1:5">
      <c r="A10" s="13" t="s">
        <v>204</v>
      </c>
      <c r="B10" s="22">
        <f>(Inputs!B68*Inputs!B70+Inputs!B68*Inputs!B69*Inputs!B71)*Inputs!B5*Inputs!B75</f>
        <v>140</v>
      </c>
      <c r="C10" s="22">
        <f>(Inputs!B68*Inputs!B70+Inputs!B68*Inputs!B69*Inputs!B71)*Inputs!B5*Inputs!B76</f>
        <v>280</v>
      </c>
      <c r="D10" s="22">
        <f>(Inputs!B68*Inputs!B70+Inputs!B68*Inputs!B69*Inputs!B71)*Inputs!B5*Inputs!B77</f>
        <v>560</v>
      </c>
      <c r="E10" s="23" t="s">
        <v>205</v>
      </c>
    </row>
    <row r="11" spans="1:5">
      <c r="A11" s="13" t="s">
        <v>206</v>
      </c>
      <c r="B11" s="22">
        <f>Inputs!B72*Inputs!B67*Inputs!B5*Inputs!B75</f>
        <v>0.70000000000000007</v>
      </c>
      <c r="C11" s="22">
        <f>Inputs!B72*Inputs!B67*Inputs!B5*Inputs!B76</f>
        <v>1.4000000000000001</v>
      </c>
      <c r="D11" s="22">
        <f>Inputs!B72*Inputs!B67*Inputs!B5*Inputs!B77</f>
        <v>2.8000000000000003</v>
      </c>
      <c r="E11" s="23" t="s">
        <v>207</v>
      </c>
    </row>
    <row r="12" spans="1:5">
      <c r="A12" s="17" t="s">
        <v>208</v>
      </c>
      <c r="B12" s="24">
        <f>SUM(B7:B11)</f>
        <v>4926.5365362485618</v>
      </c>
      <c r="C12" s="24">
        <f>SUM(C7:C11)</f>
        <v>5200.5395857307258</v>
      </c>
      <c r="D12" s="24">
        <f>SUM(D7:D11)</f>
        <v>5748.5456846950528</v>
      </c>
      <c r="E12" s="23" t="s">
        <v>209</v>
      </c>
    </row>
    <row r="13" spans="1:5">
      <c r="A13" s="13" t="s">
        <v>210</v>
      </c>
      <c r="B13" s="22">
        <f>B12/Inputs!B5</f>
        <v>351.89546687489729</v>
      </c>
      <c r="C13" s="22">
        <f>C12/Inputs!B5</f>
        <v>371.4671132664804</v>
      </c>
      <c r="D13" s="22">
        <f>D12/Inputs!B5</f>
        <v>410.61040604964666</v>
      </c>
      <c r="E13" s="18"/>
    </row>
    <row r="14" spans="1:5">
      <c r="A14" s="13" t="s">
        <v>211</v>
      </c>
      <c r="B14" s="22">
        <f>B12/$B$4</f>
        <v>1528.9858035714285</v>
      </c>
      <c r="C14" s="22">
        <f>C12/$B$4</f>
        <v>1614.0246071428571</v>
      </c>
      <c r="D14" s="22">
        <f>D12/$B$4</f>
        <v>1784.1022142857144</v>
      </c>
      <c r="E14" s="18"/>
    </row>
    <row r="16" spans="1:5">
      <c r="A16" s="3" t="s">
        <v>212</v>
      </c>
    </row>
    <row r="17" spans="1:1">
      <c r="A17" s="6" t="s">
        <v>213</v>
      </c>
    </row>
    <row r="18" spans="1:1">
      <c r="A18" s="6" t="s">
        <v>214</v>
      </c>
    </row>
    <row r="19" spans="1:1">
      <c r="A19" s="6" t="s">
        <v>215</v>
      </c>
    </row>
    <row r="20" spans="1:1">
      <c r="A20" s="6" t="s">
        <v>216</v>
      </c>
    </row>
    <row r="21" spans="1:1">
      <c r="A21" s="6" t="s">
        <v>217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2026-06-11T18:44:44Z</dcterms:created>
  <dcterms:modified xsi:type="dcterms:W3CDTF">2026-06-12T11:01:18Z</dcterms:modified>
  <cp:category/>
  <cp:contentStatus/>
</cp:coreProperties>
</file>